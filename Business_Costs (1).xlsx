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siness Costs" sheetId="1" r:id="rId5"/>
  </sheets>
  <definedNames>
    <definedName hidden="1" localSheetId="0" name="_xlnm._FilterDatabase">'Business Costs'!$A$1:$F$25</definedName>
  </definedNames>
  <calcPr/>
</workbook>
</file>

<file path=xl/sharedStrings.xml><?xml version="1.0" encoding="utf-8"?>
<sst xmlns="http://schemas.openxmlformats.org/spreadsheetml/2006/main" count="54" uniqueCount="35">
  <si>
    <t>Expense</t>
  </si>
  <si>
    <t>Frequency</t>
  </si>
  <si>
    <t>Amount (£)</t>
  </si>
  <si>
    <t>Monthly Equivalent (£)</t>
  </si>
  <si>
    <t>Annual Equivalent (£)</t>
  </si>
  <si>
    <t>Notes</t>
  </si>
  <si>
    <t>Insurance</t>
  </si>
  <si>
    <t>Monthly</t>
  </si>
  <si>
    <t>V-THERE</t>
  </si>
  <si>
    <t>True Host</t>
  </si>
  <si>
    <t>GoDaddy Domain</t>
  </si>
  <si>
    <t>Yearly</t>
  </si>
  <si>
    <t>Annual cost converted to monthly equivalent</t>
  </si>
  <si>
    <t>App Store</t>
  </si>
  <si>
    <t xml:space="preserve">Playstore </t>
  </si>
  <si>
    <t>One time Payment</t>
  </si>
  <si>
    <t>GoDaddy Organisation Email</t>
  </si>
  <si>
    <t>Twilio</t>
  </si>
  <si>
    <t>Claude AI</t>
  </si>
  <si>
    <t>Giffgaff</t>
  </si>
  <si>
    <t>Google Ads</t>
  </si>
  <si>
    <t>Advertising</t>
  </si>
  <si>
    <t>Google Local Service Ads</t>
  </si>
  <si>
    <t>Meta Ads</t>
  </si>
  <si>
    <t>Nextdoor Ads</t>
  </si>
  <si>
    <t>TikTok Ads</t>
  </si>
  <si>
    <t>Bark</t>
  </si>
  <si>
    <t>Not specified</t>
  </si>
  <si>
    <t>Billing frequency not provided</t>
  </si>
  <si>
    <t>LinkedIn Sales Navigator</t>
  </si>
  <si>
    <t>Amount not provided</t>
  </si>
  <si>
    <t>Subdomain for Code Emailing</t>
  </si>
  <si>
    <t>Current Total (excluding Bark &amp; unspecified)</t>
  </si>
  <si>
    <t>Advertising Total</t>
  </si>
  <si>
    <t>If Bark is monthly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</si>
</sst>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£#,##0.00"/>
  </numFmts>
  <fonts count="5">
    <font>
      <sz val="11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Font="1"/>
    <xf borderId="0" fillId="0" fontId="3" numFmtId="164" xfId="0" applyFont="1" applyNumberFormat="1"/>
    <xf borderId="0" fillId="0" fontId="2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4" numFmtId="0" xfId="0" applyFont="1"/>
    <xf borderId="0" fillId="0" fontId="4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20.71"/>
    <col customWidth="1" min="3" max="3" width="16.0"/>
    <col customWidth="1" min="4" max="4" width="24.0"/>
    <col customWidth="1" min="5" max="5" width="22.0"/>
    <col customWidth="1" min="6" max="6" width="42.0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3">
        <v>71.98</v>
      </c>
      <c r="D2" s="3">
        <v>71.98</v>
      </c>
      <c r="E2" s="3">
        <v>863.76</v>
      </c>
    </row>
    <row r="3">
      <c r="A3" s="2" t="s">
        <v>8</v>
      </c>
      <c r="B3" s="2" t="s">
        <v>7</v>
      </c>
      <c r="C3" s="3">
        <v>45.0</v>
      </c>
      <c r="D3" s="3">
        <v>45.0</v>
      </c>
      <c r="E3" s="3">
        <v>540.0</v>
      </c>
    </row>
    <row r="4">
      <c r="A4" s="4" t="s">
        <v>9</v>
      </c>
      <c r="B4" s="2" t="s">
        <v>7</v>
      </c>
      <c r="C4" s="3">
        <v>5.0</v>
      </c>
      <c r="D4" s="3">
        <v>5.0</v>
      </c>
      <c r="E4" s="3">
        <v>60.0</v>
      </c>
    </row>
    <row r="5">
      <c r="A5" s="2" t="s">
        <v>10</v>
      </c>
      <c r="B5" s="2" t="s">
        <v>11</v>
      </c>
      <c r="C5" s="3">
        <v>71.06</v>
      </c>
      <c r="D5" s="3">
        <v>5.921666666666667</v>
      </c>
      <c r="E5" s="3">
        <v>71.06</v>
      </c>
      <c r="F5" s="2" t="s">
        <v>12</v>
      </c>
    </row>
    <row r="6">
      <c r="A6" s="4" t="s">
        <v>13</v>
      </c>
      <c r="B6" s="4" t="s">
        <v>11</v>
      </c>
      <c r="C6" s="5">
        <v>78.0</v>
      </c>
      <c r="D6" s="3"/>
      <c r="E6" s="3"/>
    </row>
    <row r="7">
      <c r="A7" s="4" t="s">
        <v>14</v>
      </c>
      <c r="B7" s="4" t="s">
        <v>15</v>
      </c>
      <c r="C7" s="5">
        <v>20.0</v>
      </c>
      <c r="D7" s="3"/>
      <c r="E7" s="3"/>
    </row>
    <row r="8">
      <c r="A8" s="2" t="s">
        <v>16</v>
      </c>
      <c r="B8" s="2" t="s">
        <v>7</v>
      </c>
      <c r="C8" s="3">
        <v>8.99</v>
      </c>
      <c r="D8" s="3">
        <v>8.99</v>
      </c>
      <c r="E8" s="3">
        <v>107.88</v>
      </c>
    </row>
    <row r="9">
      <c r="A9" s="2" t="s">
        <v>17</v>
      </c>
      <c r="B9" s="2" t="s">
        <v>7</v>
      </c>
      <c r="C9" s="3">
        <v>20.0</v>
      </c>
      <c r="D9" s="3">
        <v>20.0</v>
      </c>
      <c r="E9" s="3">
        <v>240.0</v>
      </c>
    </row>
    <row r="10">
      <c r="A10" s="2" t="s">
        <v>18</v>
      </c>
      <c r="B10" s="2" t="s">
        <v>7</v>
      </c>
      <c r="C10" s="3">
        <v>18.0</v>
      </c>
      <c r="D10" s="3">
        <v>18.0</v>
      </c>
      <c r="E10" s="3">
        <v>216.0</v>
      </c>
    </row>
    <row r="11">
      <c r="A11" s="2" t="s">
        <v>19</v>
      </c>
      <c r="B11" s="2" t="s">
        <v>7</v>
      </c>
      <c r="C11" s="3">
        <v>10.0</v>
      </c>
      <c r="D11" s="3">
        <v>10.0</v>
      </c>
      <c r="E11" s="3">
        <v>120.0</v>
      </c>
    </row>
    <row r="12">
      <c r="A12" s="2" t="s">
        <v>20</v>
      </c>
      <c r="B12" s="2" t="s">
        <v>7</v>
      </c>
      <c r="C12" s="3">
        <v>450.0</v>
      </c>
      <c r="D12" s="3">
        <v>450.0</v>
      </c>
      <c r="E12" s="3">
        <v>5400.0</v>
      </c>
      <c r="F12" s="2" t="s">
        <v>21</v>
      </c>
    </row>
    <row r="13">
      <c r="A13" s="2" t="s">
        <v>22</v>
      </c>
      <c r="B13" s="2" t="s">
        <v>7</v>
      </c>
      <c r="C13" s="3">
        <v>200.0</v>
      </c>
      <c r="D13" s="3">
        <v>200.0</v>
      </c>
      <c r="E13" s="3">
        <v>2400.0</v>
      </c>
      <c r="F13" s="2" t="s">
        <v>21</v>
      </c>
    </row>
    <row r="14">
      <c r="A14" s="2" t="s">
        <v>23</v>
      </c>
      <c r="B14" s="2" t="s">
        <v>7</v>
      </c>
      <c r="C14" s="3">
        <v>200.0</v>
      </c>
      <c r="D14" s="3">
        <v>200.0</v>
      </c>
      <c r="E14" s="3">
        <v>2400.0</v>
      </c>
      <c r="F14" s="2" t="s">
        <v>21</v>
      </c>
    </row>
    <row r="15">
      <c r="A15" s="2" t="s">
        <v>24</v>
      </c>
      <c r="B15" s="2" t="s">
        <v>7</v>
      </c>
      <c r="C15" s="3">
        <v>200.0</v>
      </c>
      <c r="D15" s="3">
        <v>200.0</v>
      </c>
      <c r="E15" s="3">
        <v>2400.0</v>
      </c>
      <c r="F15" s="2" t="s">
        <v>21</v>
      </c>
    </row>
    <row r="16">
      <c r="A16" s="2" t="s">
        <v>25</v>
      </c>
      <c r="B16" s="2" t="s">
        <v>7</v>
      </c>
      <c r="C16" s="3">
        <v>200.0</v>
      </c>
      <c r="D16" s="3">
        <v>200.0</v>
      </c>
      <c r="E16" s="3">
        <v>2400.0</v>
      </c>
      <c r="F16" s="2" t="s">
        <v>21</v>
      </c>
    </row>
    <row r="17">
      <c r="A17" s="2" t="s">
        <v>26</v>
      </c>
      <c r="B17" s="2" t="s">
        <v>27</v>
      </c>
      <c r="C17" s="3">
        <v>43.2</v>
      </c>
      <c r="D17" s="3"/>
      <c r="E17" s="3"/>
      <c r="F17" s="2" t="s">
        <v>28</v>
      </c>
    </row>
    <row r="18">
      <c r="A18" s="2" t="s">
        <v>29</v>
      </c>
      <c r="B18" s="2" t="s">
        <v>7</v>
      </c>
      <c r="C18" s="3"/>
      <c r="D18" s="3"/>
      <c r="E18" s="3"/>
      <c r="F18" s="2" t="s">
        <v>30</v>
      </c>
    </row>
    <row r="19">
      <c r="A19" s="2" t="s">
        <v>31</v>
      </c>
      <c r="B19" s="2" t="s">
        <v>7</v>
      </c>
      <c r="C19" s="3"/>
      <c r="D19" s="3"/>
      <c r="E19" s="3"/>
      <c r="F19" s="2" t="s">
        <v>30</v>
      </c>
    </row>
    <row r="20">
      <c r="C20" s="3"/>
      <c r="D20" s="3"/>
      <c r="E20" s="3"/>
    </row>
    <row r="21">
      <c r="A21" s="6" t="s">
        <v>32</v>
      </c>
      <c r="B21" s="6"/>
      <c r="C21" s="7"/>
      <c r="D21" s="7">
        <f t="shared" ref="D21:E21" si="1">SUM(D2:D16)</f>
        <v>1434.891667</v>
      </c>
      <c r="E21" s="7">
        <f t="shared" si="1"/>
        <v>17218.7</v>
      </c>
      <c r="F21" s="6"/>
    </row>
    <row r="22">
      <c r="C22" s="3"/>
      <c r="D22" s="3"/>
      <c r="E22" s="3"/>
    </row>
    <row r="23" ht="15.75" customHeight="1">
      <c r="A23" s="6" t="s">
        <v>33</v>
      </c>
      <c r="B23" s="6"/>
      <c r="C23" s="7"/>
      <c r="D23" s="7">
        <f t="shared" ref="D23:E23" si="2">SUM(D12:D16)</f>
        <v>1250</v>
      </c>
      <c r="E23" s="7">
        <f t="shared" si="2"/>
        <v>15000</v>
      </c>
      <c r="F23" s="6"/>
    </row>
    <row r="24" ht="15.75" customHeight="1">
      <c r="C24" s="3"/>
      <c r="D24" s="3"/>
      <c r="E24" s="3"/>
    </row>
    <row r="25" ht="15.75" customHeight="1">
      <c r="A25" s="6" t="s">
        <v>34</v>
      </c>
      <c r="B25" s="6"/>
      <c r="C25" s="7"/>
      <c r="D25" s="7">
        <f>D21+43.2</f>
        <v>1478.091667</v>
      </c>
      <c r="E25" s="7">
        <f>E21+43.2*12</f>
        <v>17737.1</v>
      </c>
      <c r="F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autoFilter ref="$A$1:$F$25"/>
  <printOptions/>
  <pageMargins bottom="1.0" footer="0.0" header="0.0" left="0.75" right="0.75" top="1.0"/>
  <pageSetup orientation="landscape"/>
  <drawing r:id="rId1"/>
</worksheet>
</file>